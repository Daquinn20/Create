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Annual revenue</t>
        </is>
      </c>
      <c r="K1" s="1" t="inlineStr">
        <is>
          <t>Sequential Quarterly Growth</t>
        </is>
      </c>
    </row>
    <row r="2">
      <c r="A2" s="2" t="inlineStr">
        <is>
          <t>Ticker</t>
        </is>
      </c>
      <c r="B2" s="2" t="inlineStr">
        <is>
          <t>sector</t>
        </is>
      </c>
      <c r="C2" s="2" t="inlineStr">
        <is>
          <t>revenue T-4</t>
        </is>
      </c>
      <c r="D2" s="2" t="inlineStr">
        <is>
          <t>revenue T-3</t>
        </is>
      </c>
      <c r="E2" s="2" t="inlineStr">
        <is>
          <t>revenue T-2</t>
        </is>
      </c>
      <c r="F2" s="2" t="inlineStr">
        <is>
          <t>revenue T-1</t>
        </is>
      </c>
      <c r="G2" s="2" t="inlineStr">
        <is>
          <t>revenue T-0</t>
        </is>
      </c>
      <c r="H2" s="2" t="inlineStr">
        <is>
          <t>revenue T+1</t>
        </is>
      </c>
      <c r="I2" s="2" t="inlineStr">
        <is>
          <t>revenue T+2</t>
        </is>
      </c>
      <c r="K2" s="2" t="inlineStr"/>
      <c r="L2" s="2" t="inlineStr">
        <is>
          <t>Revenue Q-4</t>
        </is>
      </c>
      <c r="M2" s="2" t="inlineStr">
        <is>
          <t>Revenue Q-3</t>
        </is>
      </c>
      <c r="N2" s="2" t="inlineStr">
        <is>
          <t>Revenue Q-2</t>
        </is>
      </c>
      <c r="O2" s="2" t="inlineStr">
        <is>
          <t>Revenue Q-1</t>
        </is>
      </c>
      <c r="P2" s="2" t="inlineStr">
        <is>
          <t>Revenue 0</t>
        </is>
      </c>
      <c r="Q2" s="2" t="inlineStr">
        <is>
          <t>Revenue Q+1</t>
        </is>
      </c>
      <c r="R2" s="2" t="inlineStr">
        <is>
          <t>Revenue Q+2</t>
        </is>
      </c>
      <c r="S2" s="2" t="inlineStr">
        <is>
          <t>Revenue Q+3</t>
        </is>
      </c>
      <c r="T2" s="2" t="inlineStr">
        <is>
          <t>Revenue Q+4</t>
        </is>
      </c>
      <c r="U2" s="2" t="inlineStr">
        <is>
          <t>Revenue Q+5</t>
        </is>
      </c>
      <c r="V2" s="2" t="inlineStr">
        <is>
          <t>Revenue Q+6</t>
        </is>
      </c>
    </row>
    <row r="3">
      <c r="A3" t="inlineStr">
        <is>
          <t>ALAB</t>
        </is>
      </c>
      <c r="B3" t="inlineStr">
        <is>
          <t>Technology</t>
        </is>
      </c>
      <c r="C3" s="3" t="n">
        <v>79.872</v>
      </c>
      <c r="D3" s="3" t="n">
        <v>115.794</v>
      </c>
      <c r="E3" s="3" t="n">
        <v>396.29</v>
      </c>
      <c r="K3" t="inlineStr">
        <is>
          <t>ALAB</t>
        </is>
      </c>
      <c r="L3" s="3" t="n">
        <v>17.664</v>
      </c>
      <c r="M3" s="3" t="n">
        <v>10.688</v>
      </c>
      <c r="N3" s="3" t="n">
        <v>36.928</v>
      </c>
      <c r="O3" s="3" t="n">
        <v>50.514</v>
      </c>
      <c r="P3" s="3" t="n">
        <v>65.258</v>
      </c>
      <c r="Q3" s="3" t="n">
        <v>76.84999999999999</v>
      </c>
      <c r="R3" s="3" t="n">
        <v>113.086</v>
      </c>
      <c r="S3" s="3" t="n">
        <v>141.096</v>
      </c>
      <c r="T3" s="3" t="n">
        <v>159.442</v>
      </c>
      <c r="U3" s="3" t="n">
        <v>191.925</v>
      </c>
      <c r="V3" s="3" t="n">
        <v>230.575</v>
      </c>
    </row>
    <row r="4">
      <c r="A4" t="inlineStr">
        <is>
          <t>APH</t>
        </is>
      </c>
      <c r="B4" t="inlineStr">
        <is>
          <t>Technology</t>
        </is>
      </c>
      <c r="C4" s="3" t="n">
        <v>8202</v>
      </c>
      <c r="D4" s="3" t="n">
        <v>8225.4</v>
      </c>
      <c r="E4" s="3" t="n">
        <v>8598.9</v>
      </c>
      <c r="F4" s="3" t="n">
        <v>10876.3</v>
      </c>
      <c r="G4" s="3" t="n">
        <v>12623</v>
      </c>
      <c r="H4" s="3" t="n">
        <v>12554.7</v>
      </c>
      <c r="I4" s="3" t="n">
        <v>15222.7</v>
      </c>
      <c r="K4" t="inlineStr">
        <is>
          <t>APH</t>
        </is>
      </c>
      <c r="L4" s="3" t="n">
        <v>2974</v>
      </c>
      <c r="M4" s="3" t="n">
        <v>3053.9</v>
      </c>
      <c r="N4" s="3" t="n">
        <v>3199.2</v>
      </c>
      <c r="O4" s="3" t="n">
        <v>3327.5</v>
      </c>
      <c r="P4" s="3" t="n">
        <v>3256.3</v>
      </c>
      <c r="Q4" s="3" t="n">
        <v>3609.7</v>
      </c>
      <c r="R4" s="3" t="n">
        <v>4038.8</v>
      </c>
      <c r="S4" s="3" t="n">
        <v>4317.9</v>
      </c>
      <c r="T4" s="3" t="n">
        <v>4811</v>
      </c>
      <c r="U4" s="3" t="n">
        <v>5650.3</v>
      </c>
      <c r="V4" s="3" t="n">
        <v>6194.4</v>
      </c>
    </row>
    <row r="5">
      <c r="A5" t="inlineStr">
        <is>
          <t>CRDO</t>
        </is>
      </c>
      <c r="B5" t="inlineStr">
        <is>
          <t>Technology</t>
        </is>
      </c>
      <c r="C5" s="3" t="n">
        <v>53.835</v>
      </c>
      <c r="D5" s="3" t="n">
        <v>58.697</v>
      </c>
      <c r="E5" s="3" t="n">
        <v>106.477</v>
      </c>
      <c r="F5" s="3" t="n">
        <v>184.194</v>
      </c>
      <c r="G5" s="3" t="n">
        <v>192.97</v>
      </c>
      <c r="H5" s="3" t="n">
        <v>436.775</v>
      </c>
      <c r="K5" t="inlineStr">
        <is>
          <t>CRDO</t>
        </is>
      </c>
      <c r="L5" s="3" t="n">
        <v>54.27</v>
      </c>
      <c r="M5" s="3" t="n">
        <v>32.088</v>
      </c>
      <c r="N5" s="3" t="n">
        <v>35.095</v>
      </c>
      <c r="O5" s="3" t="n">
        <v>44.035</v>
      </c>
      <c r="P5" s="3" t="n">
        <v>53.058</v>
      </c>
      <c r="Q5" s="3" t="n">
        <v>60.782</v>
      </c>
      <c r="R5" s="3" t="n">
        <v>59.714</v>
      </c>
      <c r="S5" s="3" t="n">
        <v>72.03400000000001</v>
      </c>
      <c r="T5" s="3" t="n">
        <v>135.002</v>
      </c>
      <c r="U5" s="3" t="n">
        <v>170.025</v>
      </c>
      <c r="V5" s="3" t="n">
        <v>223.074</v>
      </c>
    </row>
    <row r="6">
      <c r="A6" t="inlineStr">
        <is>
          <t>LITE</t>
        </is>
      </c>
      <c r="B6" t="inlineStr">
        <is>
          <t>Technology</t>
        </is>
      </c>
      <c r="C6" s="3" t="n">
        <v>1565.3</v>
      </c>
      <c r="D6" s="3" t="n">
        <v>1678.6</v>
      </c>
      <c r="E6" s="3" t="n">
        <v>1712.6</v>
      </c>
      <c r="F6" s="3" t="n">
        <v>1712.6</v>
      </c>
      <c r="G6" s="3" t="n">
        <v>1767</v>
      </c>
      <c r="H6" s="3" t="n">
        <v>1359.2</v>
      </c>
      <c r="I6" s="3" t="n">
        <v>1645</v>
      </c>
      <c r="K6" t="inlineStr">
        <is>
          <t>LITE</t>
        </is>
      </c>
      <c r="L6" s="3" t="n">
        <v>383.4</v>
      </c>
      <c r="M6" s="3" t="n">
        <v>370.8</v>
      </c>
      <c r="N6" s="3" t="n">
        <v>317.6</v>
      </c>
      <c r="O6" s="3" t="n">
        <v>308.3</v>
      </c>
      <c r="P6" s="3" t="n">
        <v>336.9</v>
      </c>
      <c r="Q6" s="3" t="n">
        <v>308.3</v>
      </c>
      <c r="R6" s="3" t="n">
        <v>336.9</v>
      </c>
      <c r="S6" s="3" t="n">
        <v>402.2</v>
      </c>
      <c r="T6" s="3" t="n">
        <v>425.2</v>
      </c>
      <c r="U6" s="3" t="n">
        <v>425.2</v>
      </c>
      <c r="V6" s="3" t="n">
        <v>480.7</v>
      </c>
    </row>
    <row r="7">
      <c r="A7" t="inlineStr">
        <is>
          <t>COHR</t>
        </is>
      </c>
      <c r="B7" t="inlineStr">
        <is>
          <t>Technology</t>
        </is>
      </c>
      <c r="C7" s="3" t="n">
        <v>1362.496</v>
      </c>
      <c r="D7" s="3" t="n">
        <v>2380.071</v>
      </c>
      <c r="E7" s="3" t="n">
        <v>3105.891</v>
      </c>
      <c r="F7" s="3" t="n">
        <v>3316.616</v>
      </c>
      <c r="G7" s="3" t="n">
        <v>5160.1</v>
      </c>
      <c r="H7" s="3" t="n">
        <v>4707.688</v>
      </c>
      <c r="I7" s="3" t="n">
        <v>5810.115</v>
      </c>
      <c r="K7" t="inlineStr">
        <is>
          <t>COHR</t>
        </is>
      </c>
      <c r="L7" s="3" t="n">
        <v>1240.194</v>
      </c>
      <c r="M7" s="3" t="n">
        <v>1205.051</v>
      </c>
      <c r="N7" s="3" t="n">
        <v>1053.083</v>
      </c>
      <c r="O7" s="3" t="n">
        <v>1131.434</v>
      </c>
      <c r="P7" s="3" t="n">
        <v>1208.809</v>
      </c>
      <c r="Q7" s="3" t="n">
        <v>1314.362</v>
      </c>
      <c r="R7" s="3" t="n">
        <v>1348.135</v>
      </c>
      <c r="S7" s="3" t="n">
        <v>1434.665</v>
      </c>
      <c r="T7" s="3" t="n">
        <v>1497.879</v>
      </c>
      <c r="U7" s="3" t="n">
        <v>1529.436</v>
      </c>
      <c r="V7" s="3" t="n">
        <v>1581.378</v>
      </c>
    </row>
    <row r="9">
      <c r="A9" s="1" t="inlineStr">
        <is>
          <t>Annual Revenue Growth</t>
        </is>
      </c>
    </row>
    <row r="10">
      <c r="A10" s="2" t="inlineStr"/>
      <c r="B10" s="2" t="inlineStr">
        <is>
          <t>sector</t>
        </is>
      </c>
      <c r="C10" s="2" t="inlineStr">
        <is>
          <t>revenue T-4</t>
        </is>
      </c>
      <c r="D10" s="2" t="inlineStr">
        <is>
          <t>revenue T-3</t>
        </is>
      </c>
      <c r="E10" s="2" t="inlineStr">
        <is>
          <t>revenue T-2</t>
        </is>
      </c>
      <c r="F10" s="2" t="inlineStr">
        <is>
          <t>revenue T-1</t>
        </is>
      </c>
      <c r="G10" s="2" t="inlineStr">
        <is>
          <t>revenue T-0</t>
        </is>
      </c>
      <c r="H10" s="2" t="inlineStr">
        <is>
          <t>revenue T+1</t>
        </is>
      </c>
      <c r="I10" s="2" t="inlineStr">
        <is>
          <t>revenue T+2</t>
        </is>
      </c>
      <c r="K10" s="1" t="inlineStr">
        <is>
          <t>Sequential Quarterly Growth</t>
        </is>
      </c>
    </row>
    <row r="11">
      <c r="A11" t="inlineStr">
        <is>
          <t>ALAB</t>
        </is>
      </c>
      <c r="B11" t="inlineStr">
        <is>
          <t>Technology</t>
        </is>
      </c>
      <c r="D11" s="4">
        <f>IF(AND(C3&lt;&gt;0, D3&lt;&gt;0), (D3-C3)/C3, "")</f>
        <v/>
      </c>
      <c r="E11" s="4">
        <f>IF(AND(D3&lt;&gt;0, E3&lt;&gt;0), (E3-D3)/D3, "")</f>
        <v/>
      </c>
      <c r="F11" s="4">
        <f>IF(AND(E3&lt;&gt;0, F3&lt;&gt;0), (F3-E3)/E3, "")</f>
        <v/>
      </c>
      <c r="G11" s="4">
        <f>IF(AND(F3&lt;&gt;0, G3&lt;&gt;0), (G3-F3)/F3, "")</f>
        <v/>
      </c>
      <c r="H11" s="4">
        <f>IF(AND(G3&lt;&gt;0, H3&lt;&gt;0), (H3-G3)/G3, "")</f>
        <v/>
      </c>
      <c r="I11" s="4">
        <f>IF(AND(H3&lt;&gt;0, I3&lt;&gt;0), (I3-H3)/H3, "")</f>
        <v/>
      </c>
      <c r="K11" s="2" t="inlineStr"/>
      <c r="L11" s="2" t="inlineStr">
        <is>
          <t>Revenue Q-4</t>
        </is>
      </c>
      <c r="M11" s="2" t="inlineStr">
        <is>
          <t>Revenue Q-3</t>
        </is>
      </c>
      <c r="N11" s="2" t="inlineStr">
        <is>
          <t>Revenue Q-2</t>
        </is>
      </c>
      <c r="O11" s="2" t="inlineStr">
        <is>
          <t>Revenue Q-1</t>
        </is>
      </c>
      <c r="P11" s="2" t="inlineStr">
        <is>
          <t>Revenue 0</t>
        </is>
      </c>
      <c r="Q11" s="2" t="inlineStr">
        <is>
          <t>Revenue Q+1</t>
        </is>
      </c>
      <c r="R11" s="2" t="inlineStr">
        <is>
          <t>Revenue Q+2</t>
        </is>
      </c>
      <c r="S11" s="2" t="inlineStr">
        <is>
          <t>Revenue Q+3</t>
        </is>
      </c>
      <c r="T11" s="2" t="inlineStr">
        <is>
          <t>Revenue Q+4</t>
        </is>
      </c>
      <c r="U11" s="2" t="inlineStr">
        <is>
          <t>Revenue Q+5</t>
        </is>
      </c>
      <c r="V11" s="2" t="inlineStr">
        <is>
          <t>Revenue Q+6</t>
        </is>
      </c>
    </row>
    <row r="12">
      <c r="A12" t="inlineStr">
        <is>
          <t>APH</t>
        </is>
      </c>
      <c r="B12" t="inlineStr">
        <is>
          <t>Technology</t>
        </is>
      </c>
      <c r="D12" s="4">
        <f>IF(AND(C4&lt;&gt;0, D4&lt;&gt;0), (D4-C4)/C4, "")</f>
        <v/>
      </c>
      <c r="E12" s="4">
        <f>IF(AND(D4&lt;&gt;0, E4&lt;&gt;0), (E4-D4)/D4, "")</f>
        <v/>
      </c>
      <c r="F12" s="4">
        <f>IF(AND(E4&lt;&gt;0, F4&lt;&gt;0), (F4-E4)/E4, "")</f>
        <v/>
      </c>
      <c r="G12" s="4">
        <f>IF(AND(F4&lt;&gt;0, G4&lt;&gt;0), (G4-F4)/F4, "")</f>
        <v/>
      </c>
      <c r="H12" s="4">
        <f>IF(AND(G4&lt;&gt;0, H4&lt;&gt;0), (H4-G4)/G4, "")</f>
        <v/>
      </c>
      <c r="I12" s="4">
        <f>IF(AND(H4&lt;&gt;0, I4&lt;&gt;0), (I4-H4)/H4, "")</f>
        <v/>
      </c>
      <c r="K12" t="inlineStr">
        <is>
          <t>ALAB</t>
        </is>
      </c>
      <c r="M12" s="4">
        <f>IF(AND(L3&lt;&gt;0, M3&lt;&gt;0), (M3-L3)/L3, "")</f>
        <v/>
      </c>
      <c r="N12" s="4">
        <f>IF(AND(M3&lt;&gt;0, N3&lt;&gt;0), (N3-M3)/M3, "")</f>
        <v/>
      </c>
      <c r="O12" s="4">
        <f>IF(AND(N3&lt;&gt;0, O3&lt;&gt;0), (O3-N3)/N3, "")</f>
        <v/>
      </c>
      <c r="P12" s="4">
        <f>IF(AND(O3&lt;&gt;0, P3&lt;&gt;0), (P3-O3)/O3, "")</f>
        <v/>
      </c>
      <c r="Q12" s="4">
        <f>IF(AND(P3&lt;&gt;0, Q3&lt;&gt;0), (Q3-P3)/P3, "")</f>
        <v/>
      </c>
      <c r="R12" s="4">
        <f>IF(AND(Q3&lt;&gt;0, R3&lt;&gt;0), (R3-Q3)/Q3, "")</f>
        <v/>
      </c>
      <c r="S12" s="4">
        <f>IF(AND(R3&lt;&gt;0, S3&lt;&gt;0), (S3-R3)/R3, "")</f>
        <v/>
      </c>
      <c r="T12" s="4">
        <f>IF(AND(S3&lt;&gt;0, T3&lt;&gt;0), (T3-S3)/S3, "")</f>
        <v/>
      </c>
      <c r="U12" s="4">
        <f>IF(AND(T3&lt;&gt;0, U3&lt;&gt;0), (U3-T3)/T3, "")</f>
        <v/>
      </c>
      <c r="V12" s="4">
        <f>IF(AND(U3&lt;&gt;0, V3&lt;&gt;0), (V3-U3)/U3, "")</f>
        <v/>
      </c>
      <c r="W12" s="4">
        <f>IF(AND(V3&lt;&gt;0, W3&lt;&gt;0), (W3-V3)/V3, "")</f>
        <v/>
      </c>
    </row>
    <row r="13">
      <c r="A13" t="inlineStr">
        <is>
          <t>CRDO</t>
        </is>
      </c>
      <c r="B13" t="inlineStr">
        <is>
          <t>Technology</t>
        </is>
      </c>
      <c r="D13" s="4">
        <f>IF(AND(C5&lt;&gt;0, D5&lt;&gt;0), (D5-C5)/C5, "")</f>
        <v/>
      </c>
      <c r="E13" s="4">
        <f>IF(AND(D5&lt;&gt;0, E5&lt;&gt;0), (E5-D5)/D5, "")</f>
        <v/>
      </c>
      <c r="F13" s="4">
        <f>IF(AND(E5&lt;&gt;0, F5&lt;&gt;0), (F5-E5)/E5, "")</f>
        <v/>
      </c>
      <c r="G13" s="4">
        <f>IF(AND(F5&lt;&gt;0, G5&lt;&gt;0), (G5-F5)/F5, "")</f>
        <v/>
      </c>
      <c r="H13" s="4">
        <f>IF(AND(G5&lt;&gt;0, H5&lt;&gt;0), (H5-G5)/G5, "")</f>
        <v/>
      </c>
      <c r="I13" s="4">
        <f>IF(AND(H5&lt;&gt;0, I5&lt;&gt;0), (I5-H5)/H5, "")</f>
        <v/>
      </c>
      <c r="K13" t="inlineStr">
        <is>
          <t>APH</t>
        </is>
      </c>
      <c r="M13" s="4">
        <f>IF(AND(L4&lt;&gt;0, M4&lt;&gt;0), (M4-L4)/L4, "")</f>
        <v/>
      </c>
      <c r="N13" s="4">
        <f>IF(AND(M4&lt;&gt;0, N4&lt;&gt;0), (N4-M4)/M4, "")</f>
        <v/>
      </c>
      <c r="O13" s="4">
        <f>IF(AND(N4&lt;&gt;0, O4&lt;&gt;0), (O4-N4)/N4, "")</f>
        <v/>
      </c>
      <c r="P13" s="4">
        <f>IF(AND(O4&lt;&gt;0, P4&lt;&gt;0), (P4-O4)/O4, "")</f>
        <v/>
      </c>
      <c r="Q13" s="4">
        <f>IF(AND(P4&lt;&gt;0, Q4&lt;&gt;0), (Q4-P4)/P4, "")</f>
        <v/>
      </c>
      <c r="R13" s="4">
        <f>IF(AND(Q4&lt;&gt;0, R4&lt;&gt;0), (R4-Q4)/Q4, "")</f>
        <v/>
      </c>
      <c r="S13" s="4">
        <f>IF(AND(R4&lt;&gt;0, S4&lt;&gt;0), (S4-R4)/R4, "")</f>
        <v/>
      </c>
      <c r="T13" s="4">
        <f>IF(AND(S4&lt;&gt;0, T4&lt;&gt;0), (T4-S4)/S4, "")</f>
        <v/>
      </c>
      <c r="U13" s="4">
        <f>IF(AND(T4&lt;&gt;0, U4&lt;&gt;0), (U4-T4)/T4, "")</f>
        <v/>
      </c>
      <c r="V13" s="4">
        <f>IF(AND(U4&lt;&gt;0, V4&lt;&gt;0), (V4-U4)/U4, "")</f>
        <v/>
      </c>
      <c r="W13" s="4">
        <f>IF(AND(V4&lt;&gt;0, W4&lt;&gt;0), (W4-V4)/V4, "")</f>
        <v/>
      </c>
    </row>
    <row r="14">
      <c r="A14" t="inlineStr">
        <is>
          <t>LITE</t>
        </is>
      </c>
      <c r="B14" t="inlineStr">
        <is>
          <t>Technology</t>
        </is>
      </c>
      <c r="D14" s="4">
        <f>IF(AND(C6&lt;&gt;0, D6&lt;&gt;0), (D6-C6)/C6, "")</f>
        <v/>
      </c>
      <c r="E14" s="4">
        <f>IF(AND(D6&lt;&gt;0, E6&lt;&gt;0), (E6-D6)/D6, "")</f>
        <v/>
      </c>
      <c r="F14" s="4">
        <f>IF(AND(E6&lt;&gt;0, F6&lt;&gt;0), (F6-E6)/E6, "")</f>
        <v/>
      </c>
      <c r="G14" s="4">
        <f>IF(AND(F6&lt;&gt;0, G6&lt;&gt;0), (G6-F6)/F6, "")</f>
        <v/>
      </c>
      <c r="H14" s="4">
        <f>IF(AND(G6&lt;&gt;0, H6&lt;&gt;0), (H6-G6)/G6, "")</f>
        <v/>
      </c>
      <c r="I14" s="4">
        <f>IF(AND(H6&lt;&gt;0, I6&lt;&gt;0), (I6-H6)/H6, "")</f>
        <v/>
      </c>
      <c r="K14" t="inlineStr">
        <is>
          <t>CRDO</t>
        </is>
      </c>
      <c r="M14" s="4">
        <f>IF(AND(L5&lt;&gt;0, M5&lt;&gt;0), (M5-L5)/L5, "")</f>
        <v/>
      </c>
      <c r="N14" s="4">
        <f>IF(AND(M5&lt;&gt;0, N5&lt;&gt;0), (N5-M5)/M5, "")</f>
        <v/>
      </c>
      <c r="O14" s="4">
        <f>IF(AND(N5&lt;&gt;0, O5&lt;&gt;0), (O5-N5)/N5, "")</f>
        <v/>
      </c>
      <c r="P14" s="4">
        <f>IF(AND(O5&lt;&gt;0, P5&lt;&gt;0), (P5-O5)/O5, "")</f>
        <v/>
      </c>
      <c r="Q14" s="4">
        <f>IF(AND(P5&lt;&gt;0, Q5&lt;&gt;0), (Q5-P5)/P5, "")</f>
        <v/>
      </c>
      <c r="R14" s="4">
        <f>IF(AND(Q5&lt;&gt;0, R5&lt;&gt;0), (R5-Q5)/Q5, "")</f>
        <v/>
      </c>
      <c r="S14" s="4">
        <f>IF(AND(R5&lt;&gt;0, S5&lt;&gt;0), (S5-R5)/R5, "")</f>
        <v/>
      </c>
      <c r="T14" s="4">
        <f>IF(AND(S5&lt;&gt;0, T5&lt;&gt;0), (T5-S5)/S5, "")</f>
        <v/>
      </c>
      <c r="U14" s="4">
        <f>IF(AND(T5&lt;&gt;0, U5&lt;&gt;0), (U5-T5)/T5, "")</f>
        <v/>
      </c>
      <c r="V14" s="4">
        <f>IF(AND(U5&lt;&gt;0, V5&lt;&gt;0), (V5-U5)/U5, "")</f>
        <v/>
      </c>
      <c r="W14" s="4">
        <f>IF(AND(V5&lt;&gt;0, W5&lt;&gt;0), (W5-V5)/V5, "")</f>
        <v/>
      </c>
    </row>
    <row r="15">
      <c r="A15" t="inlineStr">
        <is>
          <t>COHR</t>
        </is>
      </c>
      <c r="B15" t="inlineStr">
        <is>
          <t>Technology</t>
        </is>
      </c>
      <c r="D15" s="4">
        <f>IF(AND(C7&lt;&gt;0, D7&lt;&gt;0), (D7-C7)/C7, "")</f>
        <v/>
      </c>
      <c r="E15" s="4">
        <f>IF(AND(D7&lt;&gt;0, E7&lt;&gt;0), (E7-D7)/D7, "")</f>
        <v/>
      </c>
      <c r="F15" s="4">
        <f>IF(AND(E7&lt;&gt;0, F7&lt;&gt;0), (F7-E7)/E7, "")</f>
        <v/>
      </c>
      <c r="G15" s="4">
        <f>IF(AND(F7&lt;&gt;0, G7&lt;&gt;0), (G7-F7)/F7, "")</f>
        <v/>
      </c>
      <c r="H15" s="4">
        <f>IF(AND(G7&lt;&gt;0, H7&lt;&gt;0), (H7-G7)/G7, "")</f>
        <v/>
      </c>
      <c r="I15" s="4">
        <f>IF(AND(H7&lt;&gt;0, I7&lt;&gt;0), (I7-H7)/H7, "")</f>
        <v/>
      </c>
      <c r="K15" t="inlineStr">
        <is>
          <t>LITE</t>
        </is>
      </c>
      <c r="M15" s="4">
        <f>IF(AND(L6&lt;&gt;0, M6&lt;&gt;0), (M6-L6)/L6, "")</f>
        <v/>
      </c>
      <c r="N15" s="4">
        <f>IF(AND(M6&lt;&gt;0, N6&lt;&gt;0), (N6-M6)/M6, "")</f>
        <v/>
      </c>
      <c r="O15" s="4">
        <f>IF(AND(N6&lt;&gt;0, O6&lt;&gt;0), (O6-N6)/N6, "")</f>
        <v/>
      </c>
      <c r="P15" s="4">
        <f>IF(AND(O6&lt;&gt;0, P6&lt;&gt;0), (P6-O6)/O6, "")</f>
        <v/>
      </c>
      <c r="Q15" s="4">
        <f>IF(AND(P6&lt;&gt;0, Q6&lt;&gt;0), (Q6-P6)/P6, "")</f>
        <v/>
      </c>
      <c r="R15" s="4">
        <f>IF(AND(Q6&lt;&gt;0, R6&lt;&gt;0), (R6-Q6)/Q6, "")</f>
        <v/>
      </c>
      <c r="S15" s="4">
        <f>IF(AND(R6&lt;&gt;0, S6&lt;&gt;0), (S6-R6)/R6, "")</f>
        <v/>
      </c>
      <c r="T15" s="4">
        <f>IF(AND(S6&lt;&gt;0, T6&lt;&gt;0), (T6-S6)/S6, "")</f>
        <v/>
      </c>
      <c r="U15" s="4">
        <f>IF(AND(T6&lt;&gt;0, U6&lt;&gt;0), (U6-T6)/T6, "")</f>
        <v/>
      </c>
      <c r="V15" s="4">
        <f>IF(AND(U6&lt;&gt;0, V6&lt;&gt;0), (V6-U6)/U6, "")</f>
        <v/>
      </c>
      <c r="W15" s="4">
        <f>IF(AND(V6&lt;&gt;0, W6&lt;&gt;0), (W6-V6)/V6, "")</f>
        <v/>
      </c>
    </row>
    <row r="16">
      <c r="K16" t="inlineStr">
        <is>
          <t>COHR</t>
        </is>
      </c>
      <c r="M16" s="4">
        <f>IF(AND(L7&lt;&gt;0, M7&lt;&gt;0), (M7-L7)/L7, "")</f>
        <v/>
      </c>
      <c r="N16" s="4">
        <f>IF(AND(M7&lt;&gt;0, N7&lt;&gt;0), (N7-M7)/M7, "")</f>
        <v/>
      </c>
      <c r="O16" s="4">
        <f>IF(AND(N7&lt;&gt;0, O7&lt;&gt;0), (O7-N7)/N7, "")</f>
        <v/>
      </c>
      <c r="P16" s="4">
        <f>IF(AND(O7&lt;&gt;0, P7&lt;&gt;0), (P7-O7)/O7, "")</f>
        <v/>
      </c>
      <c r="Q16" s="4">
        <f>IF(AND(P7&lt;&gt;0, Q7&lt;&gt;0), (Q7-P7)/P7, "")</f>
        <v/>
      </c>
      <c r="R16" s="4">
        <f>IF(AND(Q7&lt;&gt;0, R7&lt;&gt;0), (R7-Q7)/Q7, "")</f>
        <v/>
      </c>
      <c r="S16" s="4">
        <f>IF(AND(R7&lt;&gt;0, S7&lt;&gt;0), (S7-R7)/R7, "")</f>
        <v/>
      </c>
      <c r="T16" s="4">
        <f>IF(AND(S7&lt;&gt;0, T7&lt;&gt;0), (T7-S7)/S7, "")</f>
        <v/>
      </c>
      <c r="U16" s="4">
        <f>IF(AND(T7&lt;&gt;0, U7&lt;&gt;0), (U7-T7)/T7, "")</f>
        <v/>
      </c>
      <c r="V16" s="4">
        <f>IF(AND(U7&lt;&gt;0, V7&lt;&gt;0), (V7-U7)/U7, "")</f>
        <v/>
      </c>
      <c r="W16" s="4">
        <f>IF(AND(V7&lt;&gt;0, W7&lt;&gt;0), (W7-V7)/V7, "")</f>
        <v/>
      </c>
    </row>
    <row r="17">
      <c r="A17" s="5" t="inlineStr">
        <is>
          <t>1= Best, 4</t>
        </is>
      </c>
      <c r="C17" s="5" t="inlineStr">
        <is>
          <t>Rank Rev Growth T-4 through T-0</t>
        </is>
      </c>
      <c r="F17" s="5" t="inlineStr">
        <is>
          <t>Rank Rev Growth T-0 through T+2</t>
        </is>
      </c>
    </row>
    <row r="18">
      <c r="A18">
        <f> worst</f>
        <v/>
      </c>
      <c r="K18" t="inlineStr">
        <is>
          <t>1= Best, 4</t>
        </is>
      </c>
      <c r="M18" t="inlineStr">
        <is>
          <t>Rank Rev Sequential Growth Q-4 thru Q-0</t>
        </is>
      </c>
      <c r="P18" t="inlineStr">
        <is>
          <t>Rank Rev Sequential Growth Q-0 thru Q+4</t>
        </is>
      </c>
      <c r="S18" t="inlineStr">
        <is>
          <t>Rank Rev Sequential Growth Q+4 thru Q+6</t>
        </is>
      </c>
    </row>
    <row r="19">
      <c r="A19" t="inlineStr">
        <is>
          <t>ALAB</t>
        </is>
      </c>
      <c r="C19">
        <f>RANK(AVERAGE(D11:G11), D$11:D$15, 0)</f>
        <v/>
      </c>
      <c r="F19">
        <f>RANK(AVERAGE(G11:I11), G$11:G$15, 0)</f>
        <v/>
      </c>
      <c r="K19">
        <f> worst</f>
        <v/>
      </c>
    </row>
    <row r="20">
      <c r="A20" t="inlineStr">
        <is>
          <t>APH</t>
        </is>
      </c>
      <c r="C20">
        <f>RANK(AVERAGE(D12:G12), D$11:D$15, 0)</f>
        <v/>
      </c>
      <c r="F20">
        <f>RANK(AVERAGE(G12:I12), G$11:G$15, 0)</f>
        <v/>
      </c>
      <c r="K20" t="inlineStr">
        <is>
          <t>ALAB</t>
        </is>
      </c>
      <c r="M20">
        <f>RANK(AVERAGE(M12:Q12), M$12:M$16, 0)</f>
        <v/>
      </c>
      <c r="P20">
        <f>RANK(AVERAGE(Q12:U12), Q$12:Q$16, 0)</f>
        <v/>
      </c>
      <c r="S20">
        <f>RANK(AVERAGE(U12:W12), U$12:U$16, 0)</f>
        <v/>
      </c>
    </row>
    <row r="21">
      <c r="A21" t="inlineStr">
        <is>
          <t>CRDO</t>
        </is>
      </c>
      <c r="C21">
        <f>RANK(AVERAGE(D13:G13), D$11:D$15, 0)</f>
        <v/>
      </c>
      <c r="F21">
        <f>RANK(AVERAGE(G13:I13), G$11:G$15, 0)</f>
        <v/>
      </c>
      <c r="K21" t="inlineStr">
        <is>
          <t>APH</t>
        </is>
      </c>
      <c r="M21">
        <f>RANK(AVERAGE(M13:Q13), M$12:M$16, 0)</f>
        <v/>
      </c>
      <c r="P21">
        <f>RANK(AVERAGE(Q13:U13), Q$12:Q$16, 0)</f>
        <v/>
      </c>
      <c r="S21">
        <f>RANK(AVERAGE(U13:W13), U$12:U$16, 0)</f>
        <v/>
      </c>
    </row>
    <row r="22">
      <c r="A22" t="inlineStr">
        <is>
          <t>LITE</t>
        </is>
      </c>
      <c r="C22">
        <f>RANK(AVERAGE(D14:G14), D$11:D$15, 0)</f>
        <v/>
      </c>
      <c r="F22">
        <f>RANK(AVERAGE(G14:I14), G$11:G$15, 0)</f>
        <v/>
      </c>
      <c r="K22" t="inlineStr">
        <is>
          <t>CRDO</t>
        </is>
      </c>
      <c r="M22">
        <f>RANK(AVERAGE(M14:Q14), M$12:M$16, 0)</f>
        <v/>
      </c>
      <c r="P22">
        <f>RANK(AVERAGE(Q14:U14), Q$12:Q$16, 0)</f>
        <v/>
      </c>
      <c r="S22">
        <f>RANK(AVERAGE(U14:W14), U$12:U$16, 0)</f>
        <v/>
      </c>
    </row>
    <row r="23">
      <c r="A23" t="inlineStr">
        <is>
          <t>COHR</t>
        </is>
      </c>
      <c r="C23">
        <f>RANK(AVERAGE(D15:G15), D$11:D$15, 0)</f>
        <v/>
      </c>
      <c r="F23">
        <f>RANK(AVERAGE(G15:I15), G$11:G$15, 0)</f>
        <v/>
      </c>
      <c r="K23" t="inlineStr">
        <is>
          <t>LITE</t>
        </is>
      </c>
      <c r="M23">
        <f>RANK(AVERAGE(M15:Q15), M$12:M$16, 0)</f>
        <v/>
      </c>
      <c r="P23">
        <f>RANK(AVERAGE(Q15:U15), Q$12:Q$16, 0)</f>
        <v/>
      </c>
      <c r="S23">
        <f>RANK(AVERAGE(U15:W15), U$12:U$16, 0)</f>
        <v/>
      </c>
    </row>
    <row r="24">
      <c r="K24" t="inlineStr">
        <is>
          <t>COHR</t>
        </is>
      </c>
      <c r="M24">
        <f>RANK(AVERAGE(M16:Q16), M$12:M$16, 0)</f>
        <v/>
      </c>
      <c r="P24">
        <f>RANK(AVERAGE(Q16:U16), Q$12:Q$16, 0)</f>
        <v/>
      </c>
      <c r="S24">
        <f>RANK(AVERAGE(U16:W16), U$12:U$16, 0)</f>
        <v/>
      </c>
    </row>
  </sheetData>
  <mergeCells count="4">
    <mergeCell ref="A1:I1"/>
    <mergeCell ref="A9:I9"/>
    <mergeCell ref="K1:V1"/>
    <mergeCell ref="K10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2025-11-28T19:37:23Z</dcterms:created>
  <dcterms:modified xmlns:dcterms="http://purl.org/dc/terms/" xmlns:xsi="http://www.w3.org/2001/XMLSchema-instance" xsi:type="dcterms:W3CDTF">2025-11-28T19:37:23Z</dcterms:modified>
</cp:coreProperties>
</file>