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qui\PycharmProjects\"/>
    </mc:Choice>
  </mc:AlternateContent>
  <xr:revisionPtr revIDLastSave="0" documentId="13_ncr:1_{1B009DBD-A08A-402E-8990-5169471DE8D3}" xr6:coauthVersionLast="47" xr6:coauthVersionMax="47" xr10:uidLastSave="{00000000-0000-0000-0000-000000000000}"/>
  <bookViews>
    <workbookView xWindow="-57720" yWindow="-2865" windowWidth="29040" windowHeight="15720" xr2:uid="{4ABA9207-3106-4195-AAA6-90B2EFAF49CB}"/>
  </bookViews>
  <sheets>
    <sheet name="sheet 1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30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8" i="1"/>
  <c r="E29" i="1"/>
  <c r="E7" i="1"/>
</calcChain>
</file>

<file path=xl/sharedStrings.xml><?xml version="1.0" encoding="utf-8"?>
<sst xmlns="http://schemas.openxmlformats.org/spreadsheetml/2006/main" count="158" uniqueCount="90">
  <si>
    <t>Name</t>
  </si>
  <si>
    <t>Pre Market Top Gainers</t>
  </si>
  <si>
    <t>Price</t>
  </si>
  <si>
    <t>Pre Market Top Losers</t>
  </si>
  <si>
    <t>NEM</t>
  </si>
  <si>
    <t>Newmont Goldcorp</t>
  </si>
  <si>
    <t>NOC</t>
  </si>
  <si>
    <t>Northrop Grumman</t>
  </si>
  <si>
    <t>626.24+49.23+8.53%</t>
  </si>
  <si>
    <t>HII</t>
  </si>
  <si>
    <t>Huntington Ingalls.</t>
  </si>
  <si>
    <t>379.63+23.18+6.50%</t>
  </si>
  <si>
    <t>LMT</t>
  </si>
  <si>
    <t>Lockheed Martin</t>
  </si>
  <si>
    <t>535.30+38.43+7.73%</t>
  </si>
  <si>
    <t>LHX</t>
  </si>
  <si>
    <t>L3Harris Technolog.</t>
  </si>
  <si>
    <t>333.02+23.26+7.51%</t>
  </si>
  <si>
    <t>GD</t>
  </si>
  <si>
    <t>General Dynamics</t>
  </si>
  <si>
    <t>366.00+20.36+5.89%</t>
  </si>
  <si>
    <t>RTX</t>
  </si>
  <si>
    <t>Rtx Corp</t>
  </si>
  <si>
    <t>193.24+7.51+4.04%</t>
  </si>
  <si>
    <t>PLTR</t>
  </si>
  <si>
    <t>Palantir</t>
  </si>
  <si>
    <t>186.62+4.94+2.72%</t>
  </si>
  <si>
    <t>HWM</t>
  </si>
  <si>
    <t>Howmet</t>
  </si>
  <si>
    <t>215.77+4.87+2.31%</t>
  </si>
  <si>
    <t>AMTM</t>
  </si>
  <si>
    <t>Amentum Holdings L.</t>
  </si>
  <si>
    <t>31.91+0.72+2.31%</t>
  </si>
  <si>
    <t>TDG</t>
  </si>
  <si>
    <t>Transdigm</t>
  </si>
  <si>
    <t>1,413.31+28.06+2.03%</t>
  </si>
  <si>
    <t>TFX</t>
  </si>
  <si>
    <t>Teleflex</t>
  </si>
  <si>
    <t>119.93-6.60-5.22%</t>
  </si>
  <si>
    <t>105.30-2.71-2.51%</t>
  </si>
  <si>
    <t>CTVA</t>
  </si>
  <si>
    <t>Corteva Inc</t>
  </si>
  <si>
    <t>66.88-1.66-2.42%</t>
  </si>
  <si>
    <t>HIG</t>
  </si>
  <si>
    <t>Hartford</t>
  </si>
  <si>
    <t>133.18-2.72-2.00%</t>
  </si>
  <si>
    <t>PNR</t>
  </si>
  <si>
    <t>Pentair PLC</t>
  </si>
  <si>
    <t>98.50-1.56-1.56%</t>
  </si>
  <si>
    <t>A</t>
  </si>
  <si>
    <t>Agilent Technologi.</t>
  </si>
  <si>
    <t>145.64-2.17-1.47%</t>
  </si>
  <si>
    <t>KKR</t>
  </si>
  <si>
    <t>KKR &amp; Co LP</t>
  </si>
  <si>
    <t>129.00-1.83-1.40%</t>
  </si>
  <si>
    <t>DRI</t>
  </si>
  <si>
    <t>Darden Restaurants</t>
  </si>
  <si>
    <t>197.00-2.77-1.39%</t>
  </si>
  <si>
    <t>APP</t>
  </si>
  <si>
    <t>Applovin Corp</t>
  </si>
  <si>
    <t>625.00-7.92-1.25%</t>
  </si>
  <si>
    <t>INTU</t>
  </si>
  <si>
    <t>Intuit Inc</t>
  </si>
  <si>
    <t>640.88-10.27-1.58%</t>
  </si>
  <si>
    <t>8.53%</t>
  </si>
  <si>
    <t/>
  </si>
  <si>
    <t>6.50%</t>
  </si>
  <si>
    <t>7.73%</t>
  </si>
  <si>
    <t>7.51%</t>
  </si>
  <si>
    <t>5.89%</t>
  </si>
  <si>
    <t>4.04%</t>
  </si>
  <si>
    <t>2.72%</t>
  </si>
  <si>
    <t>2.31%</t>
  </si>
  <si>
    <t>2.03%</t>
  </si>
  <si>
    <t>-5.22%</t>
  </si>
  <si>
    <t>-2.51%</t>
  </si>
  <si>
    <t>-2.42%</t>
  </si>
  <si>
    <t>-2.00%</t>
  </si>
  <si>
    <t>-1.56%</t>
  </si>
  <si>
    <t>-1.47%</t>
  </si>
  <si>
    <t>-1.40%</t>
  </si>
  <si>
    <t>-1.39%</t>
  </si>
  <si>
    <t>-1.25%</t>
  </si>
  <si>
    <t>-1.58%</t>
  </si>
  <si>
    <t>Pre Mark Move</t>
  </si>
  <si>
    <t>KTOS</t>
  </si>
  <si>
    <t>GMED</t>
  </si>
  <si>
    <t>BE</t>
  </si>
  <si>
    <t>APLD</t>
  </si>
  <si>
    <t>OSCR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</si>
</sst>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0" fontId="0" fillId="0" borderId="0" xfId="0" applyNumberFormat="1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9423D-0355-451A-857D-DE110EB9EE38}">
  <dimension ref="B4:D58"/>
  <sheetViews>
    <sheetView tabSelected="1" topLeftCell="A25" workbookViewId="0">
      <selection activeCell="J30" sqref="J30"/>
    </sheetView>
  </sheetViews>
  <sheetFormatPr defaultRowHeight="14.5" x14ac:dyDescent="0.35"/>
  <cols>
    <col min="2" max="2" width="22.54296875" customWidth="1"/>
    <col min="4" max="4" width="14.1796875" customWidth="1"/>
  </cols>
  <sheetData>
    <row r="4" spans="2:4" x14ac:dyDescent="0.35">
      <c r="B4" s="1" t="s">
        <v>1</v>
      </c>
    </row>
    <row r="5" spans="2:4" x14ac:dyDescent="0.35">
      <c r="B5" t="s">
        <v>0</v>
      </c>
      <c r="D5" t="s">
        <v>84</v>
      </c>
    </row>
    <row r="6" spans="2:4" x14ac:dyDescent="0.35">
      <c r="B6" t="s">
        <v>6</v>
      </c>
      <c r="D6" t="s">
        <v>64</v>
      </c>
    </row>
    <row r="7" spans="2:4" x14ac:dyDescent="0.35">
      <c r="B7" t="s">
        <v>7</v>
      </c>
      <c r="D7" t="s">
        <v>65</v>
      </c>
    </row>
    <row r="8" spans="2:4" x14ac:dyDescent="0.35">
      <c r="B8" t="s">
        <v>9</v>
      </c>
      <c r="D8" t="s">
        <v>66</v>
      </c>
    </row>
    <row r="9" spans="2:4" x14ac:dyDescent="0.35">
      <c r="B9" t="s">
        <v>10</v>
      </c>
      <c r="D9" t="s">
        <v>65</v>
      </c>
    </row>
    <row r="10" spans="2:4" x14ac:dyDescent="0.35">
      <c r="B10" t="s">
        <v>12</v>
      </c>
      <c r="D10" t="s">
        <v>67</v>
      </c>
    </row>
    <row r="11" spans="2:4" x14ac:dyDescent="0.35">
      <c r="B11" t="s">
        <v>13</v>
      </c>
      <c r="D11" t="s">
        <v>65</v>
      </c>
    </row>
    <row r="12" spans="2:4" x14ac:dyDescent="0.35">
      <c r="B12" t="s">
        <v>15</v>
      </c>
      <c r="D12" t="s">
        <v>68</v>
      </c>
    </row>
    <row r="13" spans="2:4" x14ac:dyDescent="0.35">
      <c r="B13" t="s">
        <v>16</v>
      </c>
      <c r="D13" t="s">
        <v>65</v>
      </c>
    </row>
    <row r="14" spans="2:4" x14ac:dyDescent="0.35">
      <c r="B14" t="s">
        <v>18</v>
      </c>
      <c r="D14" t="s">
        <v>69</v>
      </c>
    </row>
    <row r="15" spans="2:4" x14ac:dyDescent="0.35">
      <c r="B15" t="s">
        <v>19</v>
      </c>
      <c r="D15" t="s">
        <v>65</v>
      </c>
    </row>
    <row r="16" spans="2:4" x14ac:dyDescent="0.35">
      <c r="B16" t="s">
        <v>21</v>
      </c>
      <c r="D16" t="s">
        <v>70</v>
      </c>
    </row>
    <row r="17" spans="2:4" x14ac:dyDescent="0.35">
      <c r="B17" t="s">
        <v>22</v>
      </c>
      <c r="D17" t="s">
        <v>65</v>
      </c>
    </row>
    <row r="18" spans="2:4" x14ac:dyDescent="0.35">
      <c r="B18" t="s">
        <v>24</v>
      </c>
      <c r="D18" t="s">
        <v>71</v>
      </c>
    </row>
    <row r="19" spans="2:4" x14ac:dyDescent="0.35">
      <c r="B19" t="s">
        <v>25</v>
      </c>
      <c r="D19" t="s">
        <v>65</v>
      </c>
    </row>
    <row r="20" spans="2:4" x14ac:dyDescent="0.35">
      <c r="B20" t="s">
        <v>27</v>
      </c>
      <c r="D20" t="s">
        <v>72</v>
      </c>
    </row>
    <row r="21" spans="2:4" x14ac:dyDescent="0.35">
      <c r="B21" t="s">
        <v>28</v>
      </c>
      <c r="D21" t="s">
        <v>65</v>
      </c>
    </row>
    <row r="22" spans="2:4" x14ac:dyDescent="0.35">
      <c r="B22" t="s">
        <v>30</v>
      </c>
      <c r="D22" t="s">
        <v>72</v>
      </c>
    </row>
    <row r="23" spans="2:4" x14ac:dyDescent="0.35">
      <c r="B23" t="s">
        <v>31</v>
      </c>
      <c r="D23" t="s">
        <v>65</v>
      </c>
    </row>
    <row r="24" spans="2:4" x14ac:dyDescent="0.35">
      <c r="B24" t="s">
        <v>33</v>
      </c>
      <c r="D24" t="s">
        <v>73</v>
      </c>
    </row>
    <row r="25" spans="2:4" x14ac:dyDescent="0.35">
      <c r="B25" t="s">
        <v>34</v>
      </c>
      <c r="D25" t="s">
        <v>65</v>
      </c>
    </row>
    <row r="26" spans="2:4" x14ac:dyDescent="0.35">
      <c r="B26" t="s">
        <v>85</v>
      </c>
      <c r="D26" s="2">
        <v>0.12839999999999999</v>
      </c>
    </row>
    <row r="27" spans="2:4" x14ac:dyDescent="0.35">
      <c r="B27" t="s">
        <v>86</v>
      </c>
      <c r="D27" s="2">
        <v>7.3200000000000001E-2</v>
      </c>
    </row>
    <row r="28" spans="2:4" x14ac:dyDescent="0.35">
      <c r="B28" t="s">
        <v>87</v>
      </c>
      <c r="D28" s="2">
        <v>7.0999999999999994E-2</v>
      </c>
    </row>
    <row r="29" spans="2:4" x14ac:dyDescent="0.35">
      <c r="B29" t="s">
        <v>88</v>
      </c>
      <c r="D29" s="2">
        <v>6.3700000000000007E-2</v>
      </c>
    </row>
    <row r="30" spans="2:4" x14ac:dyDescent="0.35">
      <c r="B30" t="s">
        <v>89</v>
      </c>
      <c r="D30" s="2">
        <v>6.1499999999999999E-2</v>
      </c>
    </row>
    <row r="31" spans="2:4" x14ac:dyDescent="0.35">
      <c r="D31" s="3"/>
    </row>
    <row r="32" spans="2:4" x14ac:dyDescent="0.35">
      <c r="D32" s="3"/>
    </row>
    <row r="33" spans="2:4" x14ac:dyDescent="0.35">
      <c r="D33" s="3"/>
    </row>
    <row r="34" spans="2:4" x14ac:dyDescent="0.35">
      <c r="D34" s="3"/>
    </row>
    <row r="35" spans="2:4" x14ac:dyDescent="0.35">
      <c r="D35" s="3"/>
    </row>
    <row r="37" spans="2:4" x14ac:dyDescent="0.35">
      <c r="B37" s="1" t="s">
        <v>3</v>
      </c>
      <c r="D37" t="s">
        <v>65</v>
      </c>
    </row>
    <row r="38" spans="2:4" x14ac:dyDescent="0.35">
      <c r="B38" t="s">
        <v>0</v>
      </c>
      <c r="D38" t="s">
        <v>2</v>
      </c>
    </row>
    <row r="39" spans="2:4" x14ac:dyDescent="0.35">
      <c r="B39" t="s">
        <v>36</v>
      </c>
      <c r="D39" t="s">
        <v>74</v>
      </c>
    </row>
    <row r="40" spans="2:4" x14ac:dyDescent="0.35">
      <c r="B40" t="s">
        <v>37</v>
      </c>
      <c r="D40" t="s">
        <v>65</v>
      </c>
    </row>
    <row r="41" spans="2:4" x14ac:dyDescent="0.35">
      <c r="B41" t="s">
        <v>4</v>
      </c>
      <c r="D41" t="s">
        <v>75</v>
      </c>
    </row>
    <row r="42" spans="2:4" x14ac:dyDescent="0.35">
      <c r="B42" t="s">
        <v>5</v>
      </c>
      <c r="D42" t="s">
        <v>65</v>
      </c>
    </row>
    <row r="43" spans="2:4" x14ac:dyDescent="0.35">
      <c r="B43" t="s">
        <v>40</v>
      </c>
      <c r="D43" t="s">
        <v>76</v>
      </c>
    </row>
    <row r="44" spans="2:4" x14ac:dyDescent="0.35">
      <c r="B44" t="s">
        <v>41</v>
      </c>
      <c r="D44" t="s">
        <v>65</v>
      </c>
    </row>
    <row r="45" spans="2:4" x14ac:dyDescent="0.35">
      <c r="B45" t="s">
        <v>43</v>
      </c>
      <c r="D45" t="s">
        <v>77</v>
      </c>
    </row>
    <row r="46" spans="2:4" x14ac:dyDescent="0.35">
      <c r="B46" t="s">
        <v>44</v>
      </c>
      <c r="D46" t="s">
        <v>65</v>
      </c>
    </row>
    <row r="47" spans="2:4" x14ac:dyDescent="0.35">
      <c r="B47" t="s">
        <v>46</v>
      </c>
      <c r="D47" t="s">
        <v>78</v>
      </c>
    </row>
    <row r="48" spans="2:4" x14ac:dyDescent="0.35">
      <c r="B48" t="s">
        <v>47</v>
      </c>
      <c r="D48" t="s">
        <v>65</v>
      </c>
    </row>
    <row r="49" spans="2:4" x14ac:dyDescent="0.35">
      <c r="B49" t="s">
        <v>49</v>
      </c>
      <c r="D49" t="s">
        <v>79</v>
      </c>
    </row>
    <row r="50" spans="2:4" x14ac:dyDescent="0.35">
      <c r="B50" t="s">
        <v>50</v>
      </c>
      <c r="D50" t="s">
        <v>65</v>
      </c>
    </row>
    <row r="51" spans="2:4" x14ac:dyDescent="0.35">
      <c r="B51" t="s">
        <v>52</v>
      </c>
      <c r="D51" t="s">
        <v>80</v>
      </c>
    </row>
    <row r="52" spans="2:4" x14ac:dyDescent="0.35">
      <c r="B52" t="s">
        <v>53</v>
      </c>
      <c r="D52" t="s">
        <v>65</v>
      </c>
    </row>
    <row r="53" spans="2:4" x14ac:dyDescent="0.35">
      <c r="B53" t="s">
        <v>55</v>
      </c>
      <c r="D53" t="s">
        <v>81</v>
      </c>
    </row>
    <row r="54" spans="2:4" x14ac:dyDescent="0.35">
      <c r="B54" t="s">
        <v>56</v>
      </c>
      <c r="D54" t="s">
        <v>65</v>
      </c>
    </row>
    <row r="55" spans="2:4" x14ac:dyDescent="0.35">
      <c r="B55" t="s">
        <v>58</v>
      </c>
      <c r="D55" t="s">
        <v>82</v>
      </c>
    </row>
    <row r="56" spans="2:4" x14ac:dyDescent="0.35">
      <c r="B56" t="s">
        <v>59</v>
      </c>
      <c r="D56" t="s">
        <v>65</v>
      </c>
    </row>
    <row r="57" spans="2:4" x14ac:dyDescent="0.35">
      <c r="B57" t="s">
        <v>61</v>
      </c>
      <c r="D57" t="s">
        <v>83</v>
      </c>
    </row>
    <row r="58" spans="2:4" x14ac:dyDescent="0.35">
      <c r="B58" t="s">
        <v>62</v>
      </c>
      <c r="D58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23BC-9990-4E74-AAED-C2125B6405A8}">
  <dimension ref="C5:E49"/>
  <sheetViews>
    <sheetView workbookViewId="0">
      <selection activeCell="E7" sqref="E7:E49"/>
    </sheetView>
  </sheetViews>
  <sheetFormatPr defaultRowHeight="14.5" x14ac:dyDescent="0.35"/>
  <cols>
    <col min="3" max="3" width="19.08984375" customWidth="1"/>
    <col min="4" max="4" width="21.90625" customWidth="1"/>
  </cols>
  <sheetData>
    <row r="5" spans="3:5" x14ac:dyDescent="0.35">
      <c r="C5" s="1" t="s">
        <v>1</v>
      </c>
    </row>
    <row r="6" spans="3:5" x14ac:dyDescent="0.35">
      <c r="C6" t="s">
        <v>0</v>
      </c>
      <c r="D6" t="s">
        <v>2</v>
      </c>
    </row>
    <row r="7" spans="3:5" x14ac:dyDescent="0.35">
      <c r="C7" t="s">
        <v>6</v>
      </c>
      <c r="D7" t="s">
        <v>8</v>
      </c>
      <c r="E7" t="str">
        <f>RIGHT(D7,5)</f>
        <v>8.53%</v>
      </c>
    </row>
    <row r="8" spans="3:5" x14ac:dyDescent="0.35">
      <c r="C8" t="s">
        <v>7</v>
      </c>
      <c r="E8" t="str">
        <f t="shared" ref="E8:E29" si="0">RIGHT(D8,5)</f>
        <v/>
      </c>
    </row>
    <row r="9" spans="3:5" x14ac:dyDescent="0.35">
      <c r="C9" t="s">
        <v>9</v>
      </c>
      <c r="D9" t="s">
        <v>11</v>
      </c>
      <c r="E9" t="str">
        <f t="shared" si="0"/>
        <v>6.50%</v>
      </c>
    </row>
    <row r="10" spans="3:5" x14ac:dyDescent="0.35">
      <c r="C10" t="s">
        <v>10</v>
      </c>
      <c r="E10" t="str">
        <f t="shared" si="0"/>
        <v/>
      </c>
    </row>
    <row r="11" spans="3:5" x14ac:dyDescent="0.35">
      <c r="C11" t="s">
        <v>12</v>
      </c>
      <c r="D11" t="s">
        <v>14</v>
      </c>
      <c r="E11" t="str">
        <f t="shared" si="0"/>
        <v>7.73%</v>
      </c>
    </row>
    <row r="12" spans="3:5" x14ac:dyDescent="0.35">
      <c r="C12" t="s">
        <v>13</v>
      </c>
      <c r="E12" t="str">
        <f t="shared" si="0"/>
        <v/>
      </c>
    </row>
    <row r="13" spans="3:5" x14ac:dyDescent="0.35">
      <c r="C13" t="s">
        <v>15</v>
      </c>
      <c r="D13" t="s">
        <v>17</v>
      </c>
      <c r="E13" t="str">
        <f t="shared" si="0"/>
        <v>7.51%</v>
      </c>
    </row>
    <row r="14" spans="3:5" x14ac:dyDescent="0.35">
      <c r="C14" t="s">
        <v>16</v>
      </c>
      <c r="E14" t="str">
        <f t="shared" si="0"/>
        <v/>
      </c>
    </row>
    <row r="15" spans="3:5" x14ac:dyDescent="0.35">
      <c r="C15" t="s">
        <v>18</v>
      </c>
      <c r="D15" t="s">
        <v>20</v>
      </c>
      <c r="E15" t="str">
        <f t="shared" si="0"/>
        <v>5.89%</v>
      </c>
    </row>
    <row r="16" spans="3:5" x14ac:dyDescent="0.35">
      <c r="C16" t="s">
        <v>19</v>
      </c>
      <c r="E16" t="str">
        <f t="shared" si="0"/>
        <v/>
      </c>
    </row>
    <row r="17" spans="3:5" x14ac:dyDescent="0.35">
      <c r="C17" t="s">
        <v>21</v>
      </c>
      <c r="D17" t="s">
        <v>23</v>
      </c>
      <c r="E17" t="str">
        <f t="shared" si="0"/>
        <v>4.04%</v>
      </c>
    </row>
    <row r="18" spans="3:5" x14ac:dyDescent="0.35">
      <c r="C18" t="s">
        <v>22</v>
      </c>
      <c r="E18" t="str">
        <f t="shared" si="0"/>
        <v/>
      </c>
    </row>
    <row r="19" spans="3:5" x14ac:dyDescent="0.35">
      <c r="C19" t="s">
        <v>24</v>
      </c>
      <c r="D19" t="s">
        <v>26</v>
      </c>
      <c r="E19" t="str">
        <f t="shared" si="0"/>
        <v>2.72%</v>
      </c>
    </row>
    <row r="20" spans="3:5" x14ac:dyDescent="0.35">
      <c r="C20" t="s">
        <v>25</v>
      </c>
      <c r="E20" t="str">
        <f t="shared" si="0"/>
        <v/>
      </c>
    </row>
    <row r="21" spans="3:5" x14ac:dyDescent="0.35">
      <c r="C21" t="s">
        <v>27</v>
      </c>
      <c r="D21" t="s">
        <v>29</v>
      </c>
      <c r="E21" t="str">
        <f t="shared" si="0"/>
        <v>2.31%</v>
      </c>
    </row>
    <row r="22" spans="3:5" x14ac:dyDescent="0.35">
      <c r="C22" t="s">
        <v>28</v>
      </c>
      <c r="E22" t="str">
        <f t="shared" si="0"/>
        <v/>
      </c>
    </row>
    <row r="23" spans="3:5" x14ac:dyDescent="0.35">
      <c r="C23" t="s">
        <v>30</v>
      </c>
      <c r="D23" t="s">
        <v>32</v>
      </c>
      <c r="E23" t="str">
        <f t="shared" si="0"/>
        <v>2.31%</v>
      </c>
    </row>
    <row r="24" spans="3:5" x14ac:dyDescent="0.35">
      <c r="C24" t="s">
        <v>31</v>
      </c>
      <c r="E24" t="str">
        <f t="shared" si="0"/>
        <v/>
      </c>
    </row>
    <row r="25" spans="3:5" x14ac:dyDescent="0.35">
      <c r="C25" t="s">
        <v>33</v>
      </c>
      <c r="D25" t="s">
        <v>35</v>
      </c>
      <c r="E25" t="str">
        <f t="shared" si="0"/>
        <v>2.03%</v>
      </c>
    </row>
    <row r="26" spans="3:5" x14ac:dyDescent="0.35">
      <c r="C26" t="s">
        <v>34</v>
      </c>
      <c r="E26" t="str">
        <f t="shared" si="0"/>
        <v/>
      </c>
    </row>
    <row r="28" spans="3:5" x14ac:dyDescent="0.35">
      <c r="C28" s="1" t="s">
        <v>3</v>
      </c>
      <c r="E28" t="str">
        <f t="shared" si="0"/>
        <v/>
      </c>
    </row>
    <row r="29" spans="3:5" x14ac:dyDescent="0.35">
      <c r="C29" t="s">
        <v>0</v>
      </c>
      <c r="D29" t="s">
        <v>2</v>
      </c>
      <c r="E29" t="str">
        <f t="shared" si="0"/>
        <v>Price</v>
      </c>
    </row>
    <row r="30" spans="3:5" x14ac:dyDescent="0.35">
      <c r="C30" t="s">
        <v>36</v>
      </c>
      <c r="D30" t="s">
        <v>38</v>
      </c>
      <c r="E30" t="str">
        <f>RIGHT(D30,6)</f>
        <v>-5.22%</v>
      </c>
    </row>
    <row r="31" spans="3:5" x14ac:dyDescent="0.35">
      <c r="C31" t="s">
        <v>37</v>
      </c>
      <c r="E31" t="str">
        <f t="shared" ref="E31:E49" si="1">RIGHT(D31,6)</f>
        <v/>
      </c>
    </row>
    <row r="32" spans="3:5" x14ac:dyDescent="0.35">
      <c r="C32" t="s">
        <v>4</v>
      </c>
      <c r="D32" t="s">
        <v>39</v>
      </c>
      <c r="E32" t="str">
        <f t="shared" si="1"/>
        <v>-2.51%</v>
      </c>
    </row>
    <row r="33" spans="3:5" x14ac:dyDescent="0.35">
      <c r="C33" t="s">
        <v>5</v>
      </c>
      <c r="E33" t="str">
        <f t="shared" si="1"/>
        <v/>
      </c>
    </row>
    <row r="34" spans="3:5" x14ac:dyDescent="0.35">
      <c r="C34" t="s">
        <v>40</v>
      </c>
      <c r="D34" t="s">
        <v>42</v>
      </c>
      <c r="E34" t="str">
        <f t="shared" si="1"/>
        <v>-2.42%</v>
      </c>
    </row>
    <row r="35" spans="3:5" x14ac:dyDescent="0.35">
      <c r="C35" t="s">
        <v>41</v>
      </c>
      <c r="E35" t="str">
        <f t="shared" si="1"/>
        <v/>
      </c>
    </row>
    <row r="36" spans="3:5" x14ac:dyDescent="0.35">
      <c r="C36" t="s">
        <v>43</v>
      </c>
      <c r="D36" t="s">
        <v>45</v>
      </c>
      <c r="E36" t="str">
        <f t="shared" si="1"/>
        <v>-2.00%</v>
      </c>
    </row>
    <row r="37" spans="3:5" x14ac:dyDescent="0.35">
      <c r="C37" t="s">
        <v>44</v>
      </c>
      <c r="E37" t="str">
        <f t="shared" si="1"/>
        <v/>
      </c>
    </row>
    <row r="38" spans="3:5" x14ac:dyDescent="0.35">
      <c r="C38" t="s">
        <v>46</v>
      </c>
      <c r="D38" t="s">
        <v>48</v>
      </c>
      <c r="E38" t="str">
        <f t="shared" si="1"/>
        <v>-1.56%</v>
      </c>
    </row>
    <row r="39" spans="3:5" x14ac:dyDescent="0.35">
      <c r="C39" t="s">
        <v>47</v>
      </c>
      <c r="E39" t="str">
        <f t="shared" si="1"/>
        <v/>
      </c>
    </row>
    <row r="40" spans="3:5" x14ac:dyDescent="0.35">
      <c r="C40" t="s">
        <v>49</v>
      </c>
      <c r="D40" t="s">
        <v>51</v>
      </c>
      <c r="E40" t="str">
        <f t="shared" si="1"/>
        <v>-1.47%</v>
      </c>
    </row>
    <row r="41" spans="3:5" x14ac:dyDescent="0.35">
      <c r="C41" t="s">
        <v>50</v>
      </c>
      <c r="E41" t="str">
        <f t="shared" si="1"/>
        <v/>
      </c>
    </row>
    <row r="42" spans="3:5" x14ac:dyDescent="0.35">
      <c r="C42" t="s">
        <v>52</v>
      </c>
      <c r="D42" t="s">
        <v>54</v>
      </c>
      <c r="E42" t="str">
        <f t="shared" si="1"/>
        <v>-1.40%</v>
      </c>
    </row>
    <row r="43" spans="3:5" x14ac:dyDescent="0.35">
      <c r="C43" t="s">
        <v>53</v>
      </c>
      <c r="E43" t="str">
        <f t="shared" si="1"/>
        <v/>
      </c>
    </row>
    <row r="44" spans="3:5" x14ac:dyDescent="0.35">
      <c r="C44" t="s">
        <v>55</v>
      </c>
      <c r="D44" t="s">
        <v>57</v>
      </c>
      <c r="E44" t="str">
        <f t="shared" si="1"/>
        <v>-1.39%</v>
      </c>
    </row>
    <row r="45" spans="3:5" x14ac:dyDescent="0.35">
      <c r="C45" t="s">
        <v>56</v>
      </c>
      <c r="E45" t="str">
        <f t="shared" si="1"/>
        <v/>
      </c>
    </row>
    <row r="46" spans="3:5" x14ac:dyDescent="0.35">
      <c r="C46" t="s">
        <v>58</v>
      </c>
      <c r="D46" t="s">
        <v>60</v>
      </c>
      <c r="E46" t="str">
        <f t="shared" si="1"/>
        <v>-1.25%</v>
      </c>
    </row>
    <row r="47" spans="3:5" x14ac:dyDescent="0.35">
      <c r="C47" t="s">
        <v>59</v>
      </c>
      <c r="E47" t="str">
        <f t="shared" si="1"/>
        <v/>
      </c>
    </row>
    <row r="48" spans="3:5" x14ac:dyDescent="0.35">
      <c r="C48" t="s">
        <v>61</v>
      </c>
      <c r="D48" t="s">
        <v>63</v>
      </c>
      <c r="E48" t="str">
        <f t="shared" si="1"/>
        <v>-1.58%</v>
      </c>
    </row>
    <row r="49" spans="3:5" x14ac:dyDescent="0.35">
      <c r="C49" t="s">
        <v>62</v>
      </c>
      <c r="E49" t="str">
        <f t="shared" si="1"/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198ABE-9DD5-464B-9C6B-8933ABA3BC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Quinn</dc:creator>
  <cp:lastModifiedBy>David Quinn</cp:lastModifiedBy>
  <dcterms:created xsi:type="dcterms:W3CDTF">2026-01-07T13:25:17Z</dcterms:created>
  <dcterms:modified xsi:type="dcterms:W3CDTF">2026-01-08T13:33:09Z</dcterms:modified>
</cp:coreProperties>
</file>